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exhibition_effect\"/>
    </mc:Choice>
  </mc:AlternateContent>
  <xr:revisionPtr revIDLastSave="0" documentId="13_ncr:1_{1EC54AE3-A28F-4B00-B33D-8856A7154AF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airos機器人展" sheetId="1" r:id="rId1"/>
    <sheet name="Computex電腦展" sheetId="2" r:id="rId2"/>
    <sheet name="比較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3" l="1"/>
  <c r="X6" i="3"/>
  <c r="Y6" i="3"/>
  <c r="Z6" i="3"/>
  <c r="W7" i="3"/>
  <c r="X7" i="3"/>
  <c r="Y7" i="3"/>
  <c r="Z7" i="3"/>
  <c r="W8" i="3"/>
  <c r="X8" i="3"/>
  <c r="Y8" i="3"/>
  <c r="Z8" i="3"/>
  <c r="Y9" i="3"/>
  <c r="Z9" i="3"/>
  <c r="W10" i="3"/>
  <c r="X10" i="3"/>
  <c r="Y10" i="3"/>
  <c r="Z10" i="3"/>
  <c r="W18" i="3"/>
  <c r="X18" i="3"/>
  <c r="Y18" i="3"/>
  <c r="Z18" i="3"/>
  <c r="W19" i="3"/>
  <c r="X19" i="3"/>
  <c r="Y19" i="3"/>
  <c r="Z19" i="3"/>
  <c r="W20" i="3"/>
  <c r="X20" i="3"/>
  <c r="Y20" i="3"/>
  <c r="Z20" i="3"/>
  <c r="W21" i="3"/>
  <c r="X21" i="3"/>
  <c r="Y21" i="3"/>
  <c r="Z21" i="3"/>
  <c r="W22" i="3"/>
  <c r="X22" i="3"/>
  <c r="Y22" i="3"/>
  <c r="Z22" i="3"/>
  <c r="Y23" i="3"/>
  <c r="Z23" i="3"/>
  <c r="W5" i="3"/>
  <c r="Z5" i="3"/>
  <c r="Y5" i="3"/>
  <c r="X5" i="3"/>
</calcChain>
</file>

<file path=xl/sharedStrings.xml><?xml version="1.0" encoding="utf-8"?>
<sst xmlns="http://schemas.openxmlformats.org/spreadsheetml/2006/main" count="152" uniqueCount="22">
  <si>
    <t>2025</t>
  </si>
  <si>
    <t>2026</t>
  </si>
  <si>
    <t>過濾前</t>
  </si>
  <si>
    <t>過濾後</t>
  </si>
  <si>
    <t>勝率</t>
  </si>
  <si>
    <t>平均報酬</t>
  </si>
  <si>
    <t>大型股平均</t>
  </si>
  <si>
    <t>小型股平均</t>
  </si>
  <si>
    <t>上銀</t>
  </si>
  <si>
    <t>所羅門</t>
  </si>
  <si>
    <t>直得</t>
  </si>
  <si>
    <t>研華</t>
  </si>
  <si>
    <t>無觸發</t>
  </si>
  <si>
    <t>威盛</t>
  </si>
  <si>
    <t>廣達</t>
  </si>
  <si>
    <t>華碩</t>
  </si>
  <si>
    <t>迎廣</t>
  </si>
  <si>
    <t>過濾勝率差</t>
    <phoneticPr fontId="1" type="noConversion"/>
  </si>
  <si>
    <t>過濾報酬差</t>
    <phoneticPr fontId="1" type="noConversion"/>
  </si>
  <si>
    <t>大型股平均</t>
    <phoneticPr fontId="1" type="noConversion"/>
  </si>
  <si>
    <t>小型股平均</t>
    <phoneticPr fontId="1" type="noConversion"/>
  </si>
  <si>
    <t>小型故平均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</si>
</sst>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sqref="A1:I10"/>
    </sheetView>
  </sheetViews>
  <sheetFormatPr defaultRowHeight="15"/>
  <sheetData>
    <row r="1" spans="1:9"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B2" s="1" t="s">
        <v>2</v>
      </c>
      <c r="C2" s="1"/>
      <c r="D2" s="1" t="s">
        <v>3</v>
      </c>
      <c r="E2" s="1"/>
      <c r="F2" s="1" t="s">
        <v>2</v>
      </c>
      <c r="G2" s="1"/>
      <c r="H2" s="1" t="s">
        <v>3</v>
      </c>
      <c r="I2" s="1"/>
    </row>
    <row r="3" spans="1:9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H3" t="s">
        <v>4</v>
      </c>
      <c r="I3" t="s">
        <v>5</v>
      </c>
    </row>
    <row r="5" spans="1:9">
      <c r="A5" t="s">
        <v>6</v>
      </c>
      <c r="B5">
        <v>29.85</v>
      </c>
      <c r="C5">
        <v>-1.27</v>
      </c>
      <c r="D5">
        <v>37.369999999999997</v>
      </c>
      <c r="E5">
        <v>0.19</v>
      </c>
      <c r="F5">
        <v>72.42</v>
      </c>
      <c r="G5">
        <v>8.6999999999999993</v>
      </c>
      <c r="H5">
        <v>45.22</v>
      </c>
      <c r="I5">
        <v>-0.22</v>
      </c>
    </row>
    <row r="6" spans="1:9">
      <c r="A6" t="s">
        <v>7</v>
      </c>
      <c r="B6">
        <v>68.94</v>
      </c>
      <c r="C6">
        <v>3.04</v>
      </c>
      <c r="D6">
        <v>64.05</v>
      </c>
      <c r="E6">
        <v>2.73</v>
      </c>
      <c r="F6">
        <v>69.239999999999995</v>
      </c>
      <c r="G6">
        <v>7.02</v>
      </c>
      <c r="H6">
        <v>69.239999999999995</v>
      </c>
      <c r="I6">
        <v>7.02</v>
      </c>
    </row>
    <row r="7" spans="1:9">
      <c r="A7" t="s">
        <v>8</v>
      </c>
      <c r="B7">
        <v>37.270000000000003</v>
      </c>
      <c r="C7">
        <v>-0.75</v>
      </c>
      <c r="D7">
        <v>40.4</v>
      </c>
      <c r="E7">
        <v>-0.82</v>
      </c>
      <c r="F7">
        <v>66.97</v>
      </c>
      <c r="G7">
        <v>8.19</v>
      </c>
      <c r="H7">
        <v>34.85</v>
      </c>
      <c r="I7">
        <v>-1.2</v>
      </c>
    </row>
    <row r="8" spans="1:9">
      <c r="A8" t="s">
        <v>9</v>
      </c>
      <c r="B8">
        <v>65.760000000000005</v>
      </c>
      <c r="C8">
        <v>3.75</v>
      </c>
      <c r="D8">
        <v>62.83</v>
      </c>
      <c r="E8">
        <v>3.53</v>
      </c>
      <c r="F8">
        <v>73.33</v>
      </c>
      <c r="G8">
        <v>7.12</v>
      </c>
      <c r="H8">
        <v>73.33</v>
      </c>
      <c r="I8">
        <v>7.12</v>
      </c>
    </row>
    <row r="9" spans="1:9">
      <c r="A9" t="s">
        <v>10</v>
      </c>
      <c r="B9">
        <v>72.12</v>
      </c>
      <c r="C9">
        <v>2.33</v>
      </c>
      <c r="D9">
        <v>60.95</v>
      </c>
      <c r="E9">
        <v>1.32</v>
      </c>
      <c r="F9">
        <v>65.150000000000006</v>
      </c>
      <c r="G9">
        <v>6.91</v>
      </c>
      <c r="H9">
        <v>65.150000000000006</v>
      </c>
      <c r="I9">
        <v>6.91</v>
      </c>
    </row>
    <row r="10" spans="1:9">
      <c r="A10" t="s">
        <v>11</v>
      </c>
      <c r="B10">
        <v>22.42</v>
      </c>
      <c r="C10">
        <v>-1.78</v>
      </c>
      <c r="D10" t="s">
        <v>12</v>
      </c>
      <c r="E10" t="s">
        <v>12</v>
      </c>
      <c r="F10">
        <v>77.88</v>
      </c>
      <c r="G10">
        <v>9.2100000000000009</v>
      </c>
      <c r="H10">
        <v>65.22</v>
      </c>
      <c r="I10">
        <v>2.46</v>
      </c>
    </row>
  </sheetData>
  <mergeCells count="6">
    <mergeCell ref="F2:G2"/>
    <mergeCell ref="B2:C2"/>
    <mergeCell ref="B1:E1"/>
    <mergeCell ref="F1:I1"/>
    <mergeCell ref="D2:E2"/>
    <mergeCell ref="H2:I2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sqref="A1:I10"/>
    </sheetView>
  </sheetViews>
  <sheetFormatPr defaultRowHeight="15"/>
  <sheetData>
    <row r="1" spans="1:9"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B2" s="1" t="s">
        <v>2</v>
      </c>
      <c r="C2" s="1"/>
      <c r="D2" s="1" t="s">
        <v>3</v>
      </c>
      <c r="E2" s="1"/>
      <c r="F2" s="1" t="s">
        <v>2</v>
      </c>
      <c r="G2" s="1"/>
      <c r="H2" s="1" t="s">
        <v>3</v>
      </c>
      <c r="I2" s="1"/>
    </row>
    <row r="3" spans="1:9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H3" t="s">
        <v>4</v>
      </c>
      <c r="I3" t="s">
        <v>5</v>
      </c>
    </row>
    <row r="5" spans="1:9">
      <c r="A5" t="s">
        <v>6</v>
      </c>
      <c r="B5">
        <v>91.13</v>
      </c>
      <c r="C5">
        <v>8.5</v>
      </c>
      <c r="D5">
        <v>54.73</v>
      </c>
      <c r="E5">
        <v>0.78</v>
      </c>
      <c r="F5">
        <v>78.11</v>
      </c>
      <c r="G5">
        <v>13.11</v>
      </c>
      <c r="H5">
        <v>86.84</v>
      </c>
      <c r="I5">
        <v>8.32</v>
      </c>
    </row>
    <row r="6" spans="1:9">
      <c r="A6" t="s">
        <v>7</v>
      </c>
      <c r="B6">
        <v>58.49</v>
      </c>
      <c r="C6">
        <v>4.34</v>
      </c>
      <c r="D6">
        <v>52.34</v>
      </c>
      <c r="E6">
        <v>3.03</v>
      </c>
      <c r="F6">
        <v>37.03</v>
      </c>
      <c r="G6">
        <v>-2.63</v>
      </c>
      <c r="H6">
        <v>18.18</v>
      </c>
      <c r="I6">
        <v>-6.78</v>
      </c>
    </row>
    <row r="7" spans="1:9">
      <c r="A7" t="s">
        <v>13</v>
      </c>
      <c r="B7">
        <v>26.98</v>
      </c>
      <c r="C7">
        <v>-4.07</v>
      </c>
      <c r="D7">
        <v>17.18</v>
      </c>
      <c r="E7">
        <v>-5.86</v>
      </c>
      <c r="F7">
        <v>28.92</v>
      </c>
      <c r="G7">
        <v>-4.8899999999999997</v>
      </c>
      <c r="H7">
        <v>7.69</v>
      </c>
      <c r="I7">
        <v>-11.39</v>
      </c>
    </row>
    <row r="8" spans="1:9">
      <c r="A8" t="s">
        <v>14</v>
      </c>
      <c r="B8">
        <v>90</v>
      </c>
      <c r="C8">
        <v>8.9</v>
      </c>
      <c r="D8">
        <v>55.79</v>
      </c>
      <c r="E8">
        <v>0.9</v>
      </c>
      <c r="F8">
        <v>67.3</v>
      </c>
      <c r="G8">
        <v>9.1199999999999992</v>
      </c>
      <c r="H8">
        <v>86.67</v>
      </c>
      <c r="I8">
        <v>15.76</v>
      </c>
    </row>
    <row r="9" spans="1:9">
      <c r="A9" t="s">
        <v>15</v>
      </c>
      <c r="B9">
        <v>92.26</v>
      </c>
      <c r="C9">
        <v>8.11</v>
      </c>
      <c r="D9" t="s">
        <v>12</v>
      </c>
      <c r="E9" t="s">
        <v>12</v>
      </c>
      <c r="F9">
        <v>88.92</v>
      </c>
      <c r="G9">
        <v>17.100000000000001</v>
      </c>
      <c r="H9">
        <v>84.21</v>
      </c>
      <c r="I9">
        <v>7.49</v>
      </c>
    </row>
    <row r="10" spans="1:9">
      <c r="A10" t="s">
        <v>16</v>
      </c>
      <c r="B10">
        <v>90</v>
      </c>
      <c r="C10">
        <v>12.75</v>
      </c>
      <c r="D10">
        <v>92.98</v>
      </c>
      <c r="E10">
        <v>12.71</v>
      </c>
      <c r="F10">
        <v>45.14</v>
      </c>
      <c r="G10">
        <v>-0.36</v>
      </c>
      <c r="H10">
        <v>27.27</v>
      </c>
      <c r="I10">
        <v>-5.45</v>
      </c>
    </row>
  </sheetData>
  <mergeCells count="6">
    <mergeCell ref="F2:G2"/>
    <mergeCell ref="B2:C2"/>
    <mergeCell ref="B1:E1"/>
    <mergeCell ref="F1:I1"/>
    <mergeCell ref="D2:E2"/>
    <mergeCell ref="H2:I2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0E2E-F974-445C-965C-B539B7B50953}">
  <dimension ref="A1:Z23"/>
  <sheetViews>
    <sheetView tabSelected="1" topLeftCell="D1" workbookViewId="0">
      <selection activeCell="Q11" sqref="Q11"/>
    </sheetView>
  </sheetViews>
  <sheetFormatPr defaultRowHeight="15"/>
  <cols>
    <col min="22" max="22" width="15.5" customWidth="1"/>
    <col min="23" max="23" width="14.5" customWidth="1"/>
    <col min="24" max="25" width="12.625" customWidth="1"/>
    <col min="26" max="26" width="11.625" customWidth="1"/>
  </cols>
  <sheetData>
    <row r="1" spans="1:26">
      <c r="B1" s="1" t="s">
        <v>0</v>
      </c>
      <c r="C1" s="1"/>
      <c r="D1" s="1"/>
      <c r="E1" s="1"/>
      <c r="F1" s="1" t="s">
        <v>1</v>
      </c>
      <c r="G1" s="1"/>
      <c r="H1" s="1"/>
      <c r="I1" s="1"/>
      <c r="M1" s="1" t="s">
        <v>0</v>
      </c>
      <c r="N1" s="1"/>
      <c r="O1" s="1"/>
      <c r="P1" s="1"/>
      <c r="Q1" s="1" t="s">
        <v>1</v>
      </c>
      <c r="R1" s="1"/>
      <c r="S1" s="1"/>
      <c r="T1" s="1"/>
    </row>
    <row r="2" spans="1:26">
      <c r="B2" s="1" t="s">
        <v>2</v>
      </c>
      <c r="C2" s="1"/>
      <c r="D2" s="1" t="s">
        <v>3</v>
      </c>
      <c r="E2" s="1"/>
      <c r="F2" s="1" t="s">
        <v>2</v>
      </c>
      <c r="G2" s="1"/>
      <c r="H2" s="1" t="s">
        <v>3</v>
      </c>
      <c r="I2" s="1"/>
      <c r="M2" s="1" t="s">
        <v>2</v>
      </c>
      <c r="N2" s="1"/>
      <c r="O2" s="1" t="s">
        <v>3</v>
      </c>
      <c r="P2" s="1"/>
      <c r="Q2" s="1" t="s">
        <v>2</v>
      </c>
      <c r="R2" s="1"/>
      <c r="S2" s="1" t="s">
        <v>3</v>
      </c>
      <c r="T2" s="1"/>
    </row>
    <row r="3" spans="1:26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H3" t="s">
        <v>4</v>
      </c>
      <c r="I3" t="s">
        <v>5</v>
      </c>
      <c r="M3" t="s">
        <v>4</v>
      </c>
      <c r="N3" t="s">
        <v>5</v>
      </c>
      <c r="O3" t="s">
        <v>4</v>
      </c>
      <c r="P3" t="s">
        <v>5</v>
      </c>
      <c r="Q3" t="s">
        <v>4</v>
      </c>
      <c r="R3" t="s">
        <v>5</v>
      </c>
      <c r="S3" t="s">
        <v>4</v>
      </c>
      <c r="T3" t="s">
        <v>5</v>
      </c>
      <c r="W3">
        <v>2025</v>
      </c>
      <c r="Y3">
        <v>2026</v>
      </c>
    </row>
    <row r="4" spans="1:26">
      <c r="W4" t="s">
        <v>17</v>
      </c>
      <c r="X4" t="s">
        <v>18</v>
      </c>
      <c r="Y4" t="s">
        <v>17</v>
      </c>
      <c r="Z4" t="s">
        <v>18</v>
      </c>
    </row>
    <row r="5" spans="1:26">
      <c r="A5" t="s">
        <v>6</v>
      </c>
      <c r="B5">
        <v>91.13</v>
      </c>
      <c r="C5">
        <v>8.5</v>
      </c>
      <c r="D5">
        <v>54.73</v>
      </c>
      <c r="E5">
        <v>0.78</v>
      </c>
      <c r="F5">
        <v>78.11</v>
      </c>
      <c r="G5">
        <v>13.11</v>
      </c>
      <c r="H5">
        <v>86.84</v>
      </c>
      <c r="I5">
        <v>8.32</v>
      </c>
      <c r="L5" t="s">
        <v>6</v>
      </c>
      <c r="M5">
        <v>91.13</v>
      </c>
      <c r="N5">
        <v>8.5</v>
      </c>
      <c r="O5">
        <v>75.709999999999994</v>
      </c>
      <c r="P5">
        <v>2.88</v>
      </c>
      <c r="Q5">
        <v>78.11</v>
      </c>
      <c r="R5">
        <v>13.11</v>
      </c>
      <c r="S5">
        <v>90.91</v>
      </c>
      <c r="T5">
        <v>15.84</v>
      </c>
      <c r="V5" s="2" t="s">
        <v>19</v>
      </c>
      <c r="W5" s="3">
        <f>O5-D5</f>
        <v>20.979999999999997</v>
      </c>
      <c r="X5" s="3">
        <f>P5-E5</f>
        <v>2.0999999999999996</v>
      </c>
      <c r="Y5" s="3">
        <f>S5-H5</f>
        <v>4.0699999999999932</v>
      </c>
      <c r="Z5" s="3">
        <f>T5-I5</f>
        <v>7.52</v>
      </c>
    </row>
    <row r="6" spans="1:26">
      <c r="A6" t="s">
        <v>7</v>
      </c>
      <c r="B6">
        <v>58.49</v>
      </c>
      <c r="C6">
        <v>4.34</v>
      </c>
      <c r="D6">
        <v>52.34</v>
      </c>
      <c r="E6">
        <v>3.03</v>
      </c>
      <c r="F6">
        <v>37.03</v>
      </c>
      <c r="G6">
        <v>-2.63</v>
      </c>
      <c r="H6">
        <v>18.18</v>
      </c>
      <c r="I6">
        <v>-6.78</v>
      </c>
      <c r="L6" t="s">
        <v>7</v>
      </c>
      <c r="M6">
        <v>58.49</v>
      </c>
      <c r="N6">
        <v>4.34</v>
      </c>
      <c r="O6">
        <v>51.79</v>
      </c>
      <c r="P6">
        <v>2.77</v>
      </c>
      <c r="Q6">
        <v>37.03</v>
      </c>
      <c r="R6">
        <v>-2.63</v>
      </c>
      <c r="S6">
        <v>17.5</v>
      </c>
      <c r="T6">
        <v>-8.26</v>
      </c>
      <c r="V6" s="2" t="s">
        <v>20</v>
      </c>
      <c r="W6" s="3">
        <f t="shared" ref="W6:W23" si="0">O6-D6</f>
        <v>-0.55000000000000426</v>
      </c>
      <c r="X6" s="3">
        <f t="shared" ref="X6:X23" si="1">P6-E6</f>
        <v>-0.25999999999999979</v>
      </c>
      <c r="Y6" s="3">
        <f t="shared" ref="Y6:Y23" si="2">S6-H6</f>
        <v>-0.67999999999999972</v>
      </c>
      <c r="Z6" s="3">
        <f t="shared" ref="Z6:Z23" si="3">T6-I6</f>
        <v>-1.4799999999999995</v>
      </c>
    </row>
    <row r="7" spans="1:26">
      <c r="A7" t="s">
        <v>13</v>
      </c>
      <c r="B7">
        <v>26.98</v>
      </c>
      <c r="C7">
        <v>-4.07</v>
      </c>
      <c r="D7">
        <v>17.18</v>
      </c>
      <c r="E7">
        <v>-5.86</v>
      </c>
      <c r="F7">
        <v>28.92</v>
      </c>
      <c r="G7">
        <v>-4.8899999999999997</v>
      </c>
      <c r="H7">
        <v>7.69</v>
      </c>
      <c r="I7">
        <v>-11.39</v>
      </c>
      <c r="L7" t="s">
        <v>13</v>
      </c>
      <c r="M7">
        <v>26.98</v>
      </c>
      <c r="N7">
        <v>-4.07</v>
      </c>
      <c r="O7">
        <v>26.98</v>
      </c>
      <c r="P7">
        <v>-4.07</v>
      </c>
      <c r="Q7">
        <v>28.92</v>
      </c>
      <c r="R7">
        <v>-4.8899999999999997</v>
      </c>
      <c r="S7">
        <v>19.54</v>
      </c>
      <c r="T7">
        <v>-8.02</v>
      </c>
      <c r="V7" s="2" t="s">
        <v>14</v>
      </c>
      <c r="W7" s="3">
        <f t="shared" si="0"/>
        <v>9.8000000000000007</v>
      </c>
      <c r="X7" s="3">
        <f t="shared" si="1"/>
        <v>1.79</v>
      </c>
      <c r="Y7" s="3">
        <f t="shared" si="2"/>
        <v>11.849999999999998</v>
      </c>
      <c r="Z7" s="3">
        <f t="shared" si="3"/>
        <v>3.370000000000001</v>
      </c>
    </row>
    <row r="8" spans="1:26">
      <c r="A8" t="s">
        <v>14</v>
      </c>
      <c r="B8">
        <v>90</v>
      </c>
      <c r="C8">
        <v>8.9</v>
      </c>
      <c r="D8">
        <v>55.79</v>
      </c>
      <c r="E8">
        <v>0.9</v>
      </c>
      <c r="F8">
        <v>67.3</v>
      </c>
      <c r="G8">
        <v>9.1199999999999992</v>
      </c>
      <c r="H8">
        <v>86.67</v>
      </c>
      <c r="I8">
        <v>15.76</v>
      </c>
      <c r="L8" t="s">
        <v>14</v>
      </c>
      <c r="M8">
        <v>90</v>
      </c>
      <c r="N8">
        <v>8.9</v>
      </c>
      <c r="O8">
        <v>74.39</v>
      </c>
      <c r="P8">
        <v>3.35</v>
      </c>
      <c r="Q8">
        <v>67.3</v>
      </c>
      <c r="R8">
        <v>9.1199999999999992</v>
      </c>
      <c r="S8">
        <v>75.760000000000005</v>
      </c>
      <c r="T8">
        <v>11.92</v>
      </c>
      <c r="V8" s="2" t="s">
        <v>15</v>
      </c>
      <c r="W8" s="3">
        <f t="shared" si="0"/>
        <v>18.600000000000001</v>
      </c>
      <c r="X8" s="3">
        <f t="shared" si="1"/>
        <v>2.4500000000000002</v>
      </c>
      <c r="Y8" s="3">
        <f t="shared" si="2"/>
        <v>-10.909999999999997</v>
      </c>
      <c r="Z8" s="3">
        <f t="shared" si="3"/>
        <v>-3.84</v>
      </c>
    </row>
    <row r="9" spans="1:26">
      <c r="A9" t="s">
        <v>15</v>
      </c>
      <c r="B9">
        <v>92.26</v>
      </c>
      <c r="C9">
        <v>8.11</v>
      </c>
      <c r="D9" t="s">
        <v>12</v>
      </c>
      <c r="E9" t="s">
        <v>12</v>
      </c>
      <c r="F9">
        <v>88.92</v>
      </c>
      <c r="G9">
        <v>17.100000000000001</v>
      </c>
      <c r="H9">
        <v>84.21</v>
      </c>
      <c r="I9">
        <v>7.49</v>
      </c>
      <c r="L9" t="s">
        <v>15</v>
      </c>
      <c r="M9">
        <v>92.26</v>
      </c>
      <c r="N9">
        <v>8.11</v>
      </c>
      <c r="O9" t="s">
        <v>12</v>
      </c>
      <c r="P9" t="s">
        <v>12</v>
      </c>
      <c r="Q9">
        <v>88.92</v>
      </c>
      <c r="R9">
        <v>17.100000000000001</v>
      </c>
      <c r="S9">
        <v>90.91</v>
      </c>
      <c r="T9">
        <v>15.3</v>
      </c>
      <c r="V9" s="2" t="s">
        <v>13</v>
      </c>
      <c r="W9" t="s">
        <v>12</v>
      </c>
      <c r="X9" t="s">
        <v>12</v>
      </c>
      <c r="Y9" s="3">
        <f t="shared" si="2"/>
        <v>6.7000000000000028</v>
      </c>
      <c r="Z9" s="3">
        <f t="shared" si="3"/>
        <v>7.8100000000000005</v>
      </c>
    </row>
    <row r="10" spans="1:26">
      <c r="A10" t="s">
        <v>16</v>
      </c>
      <c r="B10">
        <v>90</v>
      </c>
      <c r="C10">
        <v>12.75</v>
      </c>
      <c r="D10">
        <v>92.98</v>
      </c>
      <c r="E10">
        <v>12.71</v>
      </c>
      <c r="F10">
        <v>45.14</v>
      </c>
      <c r="G10">
        <v>-0.36</v>
      </c>
      <c r="H10">
        <v>27.27</v>
      </c>
      <c r="I10">
        <v>-5.45</v>
      </c>
      <c r="L10" t="s">
        <v>16</v>
      </c>
      <c r="M10">
        <v>90</v>
      </c>
      <c r="N10">
        <v>12.75</v>
      </c>
      <c r="O10">
        <v>89.03</v>
      </c>
      <c r="P10">
        <v>11.88</v>
      </c>
      <c r="Q10">
        <v>45.14</v>
      </c>
      <c r="R10">
        <v>-0.36</v>
      </c>
      <c r="S10">
        <v>29</v>
      </c>
      <c r="T10">
        <v>-4.8099999999999996</v>
      </c>
      <c r="V10" s="2" t="s">
        <v>16</v>
      </c>
      <c r="W10" s="3">
        <f t="shared" si="0"/>
        <v>-3.9500000000000028</v>
      </c>
      <c r="X10" s="3">
        <f t="shared" si="1"/>
        <v>-0.83000000000000007</v>
      </c>
      <c r="Y10" s="3">
        <f t="shared" si="2"/>
        <v>1.7300000000000004</v>
      </c>
      <c r="Z10" s="3">
        <f t="shared" si="3"/>
        <v>0.64000000000000057</v>
      </c>
    </row>
    <row r="11" spans="1:26">
      <c r="V11" s="2"/>
      <c r="W11" s="3"/>
      <c r="X11" s="3"/>
      <c r="Y11" s="3"/>
      <c r="Z11" s="3"/>
    </row>
    <row r="12" spans="1:26">
      <c r="V12" s="2"/>
      <c r="W12" s="3"/>
      <c r="X12" s="3"/>
      <c r="Y12" s="3"/>
      <c r="Z12" s="3"/>
    </row>
    <row r="13" spans="1:26">
      <c r="V13" s="2"/>
      <c r="W13" s="3"/>
      <c r="X13" s="3"/>
      <c r="Y13" s="3"/>
      <c r="Z13" s="3"/>
    </row>
    <row r="14" spans="1:26">
      <c r="B14" s="1" t="s">
        <v>0</v>
      </c>
      <c r="C14" s="1"/>
      <c r="D14" s="1"/>
      <c r="E14" s="1"/>
      <c r="F14" s="1" t="s">
        <v>1</v>
      </c>
      <c r="G14" s="1"/>
      <c r="H14" s="1"/>
      <c r="I14" s="1"/>
      <c r="M14" s="1" t="s">
        <v>0</v>
      </c>
      <c r="N14" s="1"/>
      <c r="O14" s="1"/>
      <c r="P14" s="1"/>
      <c r="Q14" s="1" t="s">
        <v>1</v>
      </c>
      <c r="R14" s="1"/>
      <c r="S14" s="1"/>
      <c r="T14" s="1"/>
      <c r="V14" s="2"/>
      <c r="W14" s="3"/>
      <c r="X14" s="3"/>
      <c r="Y14" s="3"/>
      <c r="Z14" s="3"/>
    </row>
    <row r="15" spans="1:26">
      <c r="B15" s="1" t="s">
        <v>2</v>
      </c>
      <c r="C15" s="1"/>
      <c r="D15" s="1" t="s">
        <v>3</v>
      </c>
      <c r="E15" s="1"/>
      <c r="F15" s="1" t="s">
        <v>2</v>
      </c>
      <c r="G15" s="1"/>
      <c r="H15" s="1" t="s">
        <v>3</v>
      </c>
      <c r="I15" s="1"/>
      <c r="M15" s="1" t="s">
        <v>2</v>
      </c>
      <c r="N15" s="1"/>
      <c r="O15" s="1" t="s">
        <v>3</v>
      </c>
      <c r="P15" s="1"/>
      <c r="Q15" s="1" t="s">
        <v>2</v>
      </c>
      <c r="R15" s="1"/>
      <c r="S15" s="1" t="s">
        <v>3</v>
      </c>
      <c r="T15" s="1"/>
      <c r="V15" s="2"/>
      <c r="W15" s="3"/>
      <c r="X15" s="3"/>
      <c r="Y15" s="3"/>
      <c r="Z15" s="3"/>
    </row>
    <row r="16" spans="1:26">
      <c r="B16" t="s">
        <v>4</v>
      </c>
      <c r="C16" t="s">
        <v>5</v>
      </c>
      <c r="D16" t="s">
        <v>4</v>
      </c>
      <c r="E16" t="s">
        <v>5</v>
      </c>
      <c r="F16" t="s">
        <v>4</v>
      </c>
      <c r="G16" t="s">
        <v>5</v>
      </c>
      <c r="H16" t="s">
        <v>4</v>
      </c>
      <c r="I16" t="s">
        <v>5</v>
      </c>
      <c r="M16" t="s">
        <v>4</v>
      </c>
      <c r="N16" t="s">
        <v>5</v>
      </c>
      <c r="O16" t="s">
        <v>4</v>
      </c>
      <c r="P16" t="s">
        <v>5</v>
      </c>
      <c r="Q16" t="s">
        <v>4</v>
      </c>
      <c r="R16" t="s">
        <v>5</v>
      </c>
      <c r="S16" t="s">
        <v>4</v>
      </c>
      <c r="T16" t="s">
        <v>5</v>
      </c>
      <c r="V16" s="2"/>
      <c r="W16" s="3"/>
      <c r="X16" s="3"/>
      <c r="Y16" s="3"/>
      <c r="Z16" s="3"/>
    </row>
    <row r="17" spans="1:26">
      <c r="V17" s="2"/>
      <c r="W17" s="3"/>
      <c r="X17" s="3"/>
      <c r="Y17" s="3"/>
      <c r="Z17" s="3"/>
    </row>
    <row r="18" spans="1:26">
      <c r="A18" t="s">
        <v>6</v>
      </c>
      <c r="B18">
        <v>29.85</v>
      </c>
      <c r="C18">
        <v>-1.27</v>
      </c>
      <c r="D18">
        <v>37.369999999999997</v>
      </c>
      <c r="E18">
        <v>0.19</v>
      </c>
      <c r="F18">
        <v>72.42</v>
      </c>
      <c r="G18">
        <v>8.6999999999999993</v>
      </c>
      <c r="H18">
        <v>45.22</v>
      </c>
      <c r="I18">
        <v>-0.22</v>
      </c>
      <c r="L18" t="s">
        <v>6</v>
      </c>
      <c r="M18">
        <v>29.85</v>
      </c>
      <c r="N18">
        <v>-1.27</v>
      </c>
      <c r="O18">
        <v>38.33</v>
      </c>
      <c r="P18">
        <v>0.08</v>
      </c>
      <c r="Q18">
        <v>72.42</v>
      </c>
      <c r="R18">
        <v>8.6999999999999993</v>
      </c>
      <c r="S18">
        <v>62.13</v>
      </c>
      <c r="T18">
        <v>4.5</v>
      </c>
      <c r="V18" s="2" t="s">
        <v>19</v>
      </c>
      <c r="W18" s="3">
        <f t="shared" si="0"/>
        <v>0.96000000000000085</v>
      </c>
      <c r="X18" s="3">
        <f t="shared" si="1"/>
        <v>-0.11</v>
      </c>
      <c r="Y18" s="3">
        <f t="shared" si="2"/>
        <v>16.910000000000004</v>
      </c>
      <c r="Z18" s="3">
        <f t="shared" si="3"/>
        <v>4.72</v>
      </c>
    </row>
    <row r="19" spans="1:26">
      <c r="A19" t="s">
        <v>7</v>
      </c>
      <c r="B19">
        <v>68.94</v>
      </c>
      <c r="C19">
        <v>3.04</v>
      </c>
      <c r="D19">
        <v>64.05</v>
      </c>
      <c r="E19">
        <v>2.73</v>
      </c>
      <c r="F19">
        <v>69.239999999999995</v>
      </c>
      <c r="G19">
        <v>7.02</v>
      </c>
      <c r="H19">
        <v>69.239999999999995</v>
      </c>
      <c r="I19">
        <v>7.02</v>
      </c>
      <c r="L19" t="s">
        <v>7</v>
      </c>
      <c r="M19">
        <v>68.94</v>
      </c>
      <c r="N19">
        <v>3.04</v>
      </c>
      <c r="O19">
        <v>66.13</v>
      </c>
      <c r="P19">
        <v>2.79</v>
      </c>
      <c r="Q19">
        <v>69.239999999999995</v>
      </c>
      <c r="R19">
        <v>7.02</v>
      </c>
      <c r="S19">
        <v>71.040000000000006</v>
      </c>
      <c r="T19">
        <v>7.1</v>
      </c>
      <c r="V19" s="2" t="s">
        <v>21</v>
      </c>
      <c r="W19" s="3">
        <f t="shared" si="0"/>
        <v>2.0799999999999983</v>
      </c>
      <c r="X19" s="3">
        <f t="shared" si="1"/>
        <v>6.0000000000000053E-2</v>
      </c>
      <c r="Y19" s="3">
        <f t="shared" si="2"/>
        <v>1.8000000000000114</v>
      </c>
      <c r="Z19" s="3">
        <f t="shared" si="3"/>
        <v>8.0000000000000071E-2</v>
      </c>
    </row>
    <row r="20" spans="1:26">
      <c r="A20" t="s">
        <v>8</v>
      </c>
      <c r="B20">
        <v>37.270000000000003</v>
      </c>
      <c r="C20">
        <v>-0.75</v>
      </c>
      <c r="D20">
        <v>40.4</v>
      </c>
      <c r="E20">
        <v>-0.82</v>
      </c>
      <c r="F20">
        <v>66.97</v>
      </c>
      <c r="G20">
        <v>8.19</v>
      </c>
      <c r="H20">
        <v>34.85</v>
      </c>
      <c r="I20">
        <v>-1.2</v>
      </c>
      <c r="L20" t="s">
        <v>8</v>
      </c>
      <c r="M20">
        <v>37.270000000000003</v>
      </c>
      <c r="N20">
        <v>-0.75</v>
      </c>
      <c r="O20">
        <v>46.67</v>
      </c>
      <c r="P20">
        <v>-0.33</v>
      </c>
      <c r="Q20">
        <v>66.97</v>
      </c>
      <c r="R20">
        <v>8.19</v>
      </c>
      <c r="S20">
        <v>53.97</v>
      </c>
      <c r="T20">
        <v>4.88</v>
      </c>
      <c r="V20" s="2" t="s">
        <v>11</v>
      </c>
      <c r="W20" s="3">
        <f t="shared" si="0"/>
        <v>6.2700000000000031</v>
      </c>
      <c r="X20" s="3">
        <f t="shared" si="1"/>
        <v>0.48999999999999994</v>
      </c>
      <c r="Y20" s="3">
        <f t="shared" si="2"/>
        <v>19.119999999999997</v>
      </c>
      <c r="Z20" s="3">
        <f t="shared" si="3"/>
        <v>6.08</v>
      </c>
    </row>
    <row r="21" spans="1:26">
      <c r="A21" t="s">
        <v>9</v>
      </c>
      <c r="B21">
        <v>65.760000000000005</v>
      </c>
      <c r="C21">
        <v>3.75</v>
      </c>
      <c r="D21">
        <v>62.83</v>
      </c>
      <c r="E21">
        <v>3.53</v>
      </c>
      <c r="F21">
        <v>73.33</v>
      </c>
      <c r="G21">
        <v>7.12</v>
      </c>
      <c r="H21">
        <v>73.33</v>
      </c>
      <c r="I21">
        <v>7.12</v>
      </c>
      <c r="L21" t="s">
        <v>9</v>
      </c>
      <c r="M21">
        <v>65.760000000000005</v>
      </c>
      <c r="N21">
        <v>3.75</v>
      </c>
      <c r="O21">
        <v>64.989999999999995</v>
      </c>
      <c r="P21">
        <v>3.6</v>
      </c>
      <c r="Q21">
        <v>73.33</v>
      </c>
      <c r="R21">
        <v>7.12</v>
      </c>
      <c r="S21">
        <v>74.290000000000006</v>
      </c>
      <c r="T21">
        <v>7.09</v>
      </c>
      <c r="V21" s="2" t="s">
        <v>9</v>
      </c>
      <c r="W21" s="3">
        <f t="shared" si="0"/>
        <v>2.1599999999999966</v>
      </c>
      <c r="X21" s="3">
        <f t="shared" si="1"/>
        <v>7.0000000000000284E-2</v>
      </c>
      <c r="Y21" s="3">
        <f t="shared" si="2"/>
        <v>0.96000000000000796</v>
      </c>
      <c r="Z21" s="3">
        <f t="shared" si="3"/>
        <v>-3.0000000000000249E-2</v>
      </c>
    </row>
    <row r="22" spans="1:26">
      <c r="A22" t="s">
        <v>10</v>
      </c>
      <c r="B22">
        <v>72.12</v>
      </c>
      <c r="C22">
        <v>2.33</v>
      </c>
      <c r="D22">
        <v>60.95</v>
      </c>
      <c r="E22">
        <v>1.32</v>
      </c>
      <c r="F22">
        <v>65.150000000000006</v>
      </c>
      <c r="G22">
        <v>6.91</v>
      </c>
      <c r="H22">
        <v>65.150000000000006</v>
      </c>
      <c r="I22">
        <v>6.91</v>
      </c>
      <c r="L22" t="s">
        <v>10</v>
      </c>
      <c r="M22">
        <v>72.12</v>
      </c>
      <c r="N22">
        <v>2.33</v>
      </c>
      <c r="O22">
        <v>67.739999999999995</v>
      </c>
      <c r="P22">
        <v>1.85</v>
      </c>
      <c r="Q22">
        <v>65.150000000000006</v>
      </c>
      <c r="R22">
        <v>6.91</v>
      </c>
      <c r="S22">
        <v>67.790000000000006</v>
      </c>
      <c r="T22">
        <v>7.11</v>
      </c>
      <c r="V22" s="2" t="s">
        <v>10</v>
      </c>
      <c r="W22" s="3">
        <f t="shared" si="0"/>
        <v>6.789999999999992</v>
      </c>
      <c r="X22" s="3">
        <f t="shared" si="1"/>
        <v>0.53</v>
      </c>
      <c r="Y22" s="3">
        <f t="shared" si="2"/>
        <v>2.6400000000000006</v>
      </c>
      <c r="Z22" s="3">
        <f t="shared" si="3"/>
        <v>0.20000000000000018</v>
      </c>
    </row>
    <row r="23" spans="1:26">
      <c r="A23" t="s">
        <v>11</v>
      </c>
      <c r="B23">
        <v>22.42</v>
      </c>
      <c r="C23">
        <v>-1.78</v>
      </c>
      <c r="D23" t="s">
        <v>12</v>
      </c>
      <c r="E23" t="s">
        <v>12</v>
      </c>
      <c r="F23">
        <v>77.88</v>
      </c>
      <c r="G23">
        <v>9.2100000000000009</v>
      </c>
      <c r="H23">
        <v>65.22</v>
      </c>
      <c r="I23">
        <v>2.46</v>
      </c>
      <c r="L23" t="s">
        <v>11</v>
      </c>
      <c r="M23">
        <v>22.42</v>
      </c>
      <c r="N23">
        <v>-1.78</v>
      </c>
      <c r="O23" t="s">
        <v>12</v>
      </c>
      <c r="P23" t="s">
        <v>12</v>
      </c>
      <c r="Q23">
        <v>77.88</v>
      </c>
      <c r="R23">
        <v>9.2100000000000009</v>
      </c>
      <c r="S23">
        <v>75.739999999999995</v>
      </c>
      <c r="T23">
        <v>6.75</v>
      </c>
      <c r="V23" s="2" t="s">
        <v>8</v>
      </c>
      <c r="W23" t="s">
        <v>12</v>
      </c>
      <c r="X23" t="s">
        <v>12</v>
      </c>
      <c r="Y23" s="3">
        <f t="shared" si="2"/>
        <v>10.519999999999996</v>
      </c>
      <c r="Z23" s="3">
        <f t="shared" si="3"/>
        <v>4.29</v>
      </c>
    </row>
  </sheetData>
  <mergeCells count="24">
    <mergeCell ref="M1:P1"/>
    <mergeCell ref="Q1:T1"/>
    <mergeCell ref="M2:N2"/>
    <mergeCell ref="O2:P2"/>
    <mergeCell ref="Q2:R2"/>
    <mergeCell ref="S2:T2"/>
    <mergeCell ref="M14:P14"/>
    <mergeCell ref="Q14:T14"/>
    <mergeCell ref="M15:N15"/>
    <mergeCell ref="O15:P15"/>
    <mergeCell ref="Q15:R15"/>
    <mergeCell ref="S15:T15"/>
    <mergeCell ref="B1:E1"/>
    <mergeCell ref="F1:I1"/>
    <mergeCell ref="B2:C2"/>
    <mergeCell ref="D2:E2"/>
    <mergeCell ref="F2:G2"/>
    <mergeCell ref="H2:I2"/>
    <mergeCell ref="B14:E14"/>
    <mergeCell ref="F14:I14"/>
    <mergeCell ref="B15:C15"/>
    <mergeCell ref="D15:E15"/>
    <mergeCell ref="F15:G15"/>
    <mergeCell ref="H15:I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Tairos機器人展</vt:lpstr>
      <vt:lpstr>Computex電腦展</vt:lpstr>
      <vt:lpstr>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2026-09-09T07:42:58Z</dcterms:created>
  <dcterms:modified xsi:type="dcterms:W3CDTF">2026-09-09T07:50:18Z</dcterms:modified>
</cp:coreProperties>
</file>